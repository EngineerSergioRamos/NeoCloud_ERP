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15" windowHeight="7995" activeTab="4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25725"/>
</workbook>
</file>

<file path=xl/calcChain.xml><?xml version="1.0" encoding="utf-8"?>
<calcChain xmlns="http://schemas.openxmlformats.org/spreadsheetml/2006/main">
  <c r="B6" i="5"/>
  <c r="C9" s="1"/>
  <c r="C10" s="1"/>
  <c r="B3"/>
  <c r="C23" i="4"/>
  <c r="B23"/>
  <c r="B22"/>
  <c r="B21"/>
  <c r="B20"/>
  <c r="B19"/>
  <c r="B18"/>
  <c r="B17"/>
  <c r="C24"/>
  <c r="B24"/>
  <c r="B15"/>
  <c r="C16" s="1"/>
  <c r="H12"/>
  <c r="G12"/>
  <c r="F12"/>
  <c r="G5"/>
  <c r="G4"/>
  <c r="F11"/>
  <c r="F10"/>
  <c r="F9"/>
  <c r="F8"/>
  <c r="F7"/>
  <c r="F6"/>
  <c r="F5"/>
  <c r="F3"/>
  <c r="F16" i="3"/>
  <c r="B17"/>
  <c r="B16"/>
  <c r="K14"/>
  <c r="K13"/>
  <c r="K12"/>
  <c r="I13"/>
  <c r="I12"/>
  <c r="C13"/>
  <c r="H10"/>
  <c r="G10"/>
  <c r="F10"/>
  <c r="E10"/>
  <c r="D10"/>
  <c r="C10"/>
  <c r="C11" s="1"/>
  <c r="C12" s="1"/>
  <c r="B13" i="2"/>
  <c r="B3"/>
  <c r="B11" i="1"/>
  <c r="C3"/>
  <c r="C4" s="1"/>
  <c r="D24" i="4" l="1"/>
  <c r="D11" i="3"/>
  <c r="C5" i="1"/>
  <c r="C6" s="1"/>
  <c r="D12" i="3" l="1"/>
  <c r="D13"/>
  <c r="E11"/>
  <c r="C7" i="1"/>
  <c r="C8" s="1"/>
  <c r="E12" i="3" l="1"/>
  <c r="E13"/>
  <c r="F11"/>
  <c r="F12" l="1"/>
  <c r="F13"/>
  <c r="G11"/>
  <c r="G12" l="1"/>
  <c r="G13"/>
  <c r="H11"/>
  <c r="H12" l="1"/>
  <c r="H13"/>
</calcChain>
</file>

<file path=xl/sharedStrings.xml><?xml version="1.0" encoding="utf-8"?>
<sst xmlns="http://schemas.openxmlformats.org/spreadsheetml/2006/main" count="69" uniqueCount="49">
  <si>
    <t>% Indirecto=</t>
  </si>
  <si>
    <t>Precio Unitario=</t>
  </si>
  <si>
    <t>% Utilidad=</t>
  </si>
  <si>
    <t>% Financiamiento=</t>
  </si>
  <si>
    <t>Costo Directo=</t>
  </si>
  <si>
    <t>Subtotal 1 (CD+CI)</t>
  </si>
  <si>
    <t>Subtotal 2 (CD+CI+CF)</t>
  </si>
  <si>
    <t>% de Sobrecosto=</t>
  </si>
  <si>
    <t>Trazo y Nivelación</t>
  </si>
  <si>
    <t>de terreno con equipo</t>
  </si>
  <si>
    <t>Topográfico. Incluye:</t>
  </si>
  <si>
    <t>Mano de obra, materiales,</t>
  </si>
  <si>
    <t>Herramienta y equipo.</t>
  </si>
  <si>
    <t>Trazo y Nivelación de terreno con equipo Topográfico. Incluye: Mano de obra, materiales, Herramienta y equipo.</t>
  </si>
  <si>
    <t>hola</t>
  </si>
  <si>
    <t>como</t>
  </si>
  <si>
    <t>estas</t>
  </si>
  <si>
    <t>?</t>
  </si>
  <si>
    <t xml:space="preserve">hola como estas ? </t>
  </si>
  <si>
    <t>d)</t>
  </si>
  <si>
    <t>Lunes</t>
  </si>
  <si>
    <t>Martes</t>
  </si>
  <si>
    <t>Miércoles</t>
  </si>
  <si>
    <t>Jueves</t>
  </si>
  <si>
    <t>Viernes</t>
  </si>
  <si>
    <t>Sábado</t>
  </si>
  <si>
    <t>Horas Laboradas</t>
  </si>
  <si>
    <t>Jornada=</t>
  </si>
  <si>
    <t>hrs</t>
  </si>
  <si>
    <t>Horas Extras</t>
  </si>
  <si>
    <t>Contador Dias</t>
  </si>
  <si>
    <t>100%+100%</t>
  </si>
  <si>
    <t>100%+200%</t>
  </si>
  <si>
    <t>Salario Semanal=</t>
  </si>
  <si>
    <t>Salario Diario (Sn)=</t>
  </si>
  <si>
    <t>Sal x Hr=</t>
  </si>
  <si>
    <t>Extras=</t>
  </si>
  <si>
    <t>Sal. Sem=</t>
  </si>
  <si>
    <t>Sn=</t>
  </si>
  <si>
    <t>Domingo</t>
  </si>
  <si>
    <t>Pago Extra=</t>
  </si>
  <si>
    <t>Inicio</t>
  </si>
  <si>
    <t>salario Sem=</t>
  </si>
  <si>
    <t>Fin calculo=</t>
  </si>
  <si>
    <t>días Lab=</t>
  </si>
  <si>
    <t>X</t>
  </si>
  <si>
    <t>X=</t>
  </si>
  <si>
    <t>días</t>
  </si>
  <si>
    <t>Aguinaldo=</t>
  </si>
</sst>
</file>

<file path=xl/styles.xml><?xml version="1.0" encoding="utf-8"?>
<styleSheet xmlns="http://schemas.openxmlformats.org/spreadsheetml/2006/main">
  <numFmts count="3">
    <numFmt numFmtId="8" formatCode="&quot;$&quot;#,##0.00;[Red]\-&quot;$&quot;#,##0.00"/>
    <numFmt numFmtId="44" formatCode="_-&quot;$&quot;* #,##0.00_-;\-&quot;$&quot;* #,##0.00_-;_-&quot;$&quot;* &quot;-&quot;??_-;_-@_-"/>
    <numFmt numFmtId="166" formatCode="0.000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4" fontId="0" fillId="0" borderId="0" xfId="1" applyFont="1"/>
    <xf numFmtId="10" fontId="0" fillId="0" borderId="0" xfId="0" applyNumberFormat="1"/>
    <xf numFmtId="8" fontId="0" fillId="0" borderId="0" xfId="0" applyNumberFormat="1"/>
    <xf numFmtId="44" fontId="0" fillId="0" borderId="0" xfId="0" applyNumberFormat="1"/>
    <xf numFmtId="166" fontId="0" fillId="0" borderId="0" xfId="2" applyNumberFormat="1" applyFont="1"/>
    <xf numFmtId="0" fontId="0" fillId="2" borderId="2" xfId="0" applyFill="1" applyBorder="1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9" fontId="0" fillId="0" borderId="0" xfId="0" applyNumberFormat="1"/>
    <xf numFmtId="0" fontId="2" fillId="0" borderId="0" xfId="0" applyFont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3" borderId="0" xfId="0" applyFont="1" applyFill="1" applyBorder="1"/>
    <xf numFmtId="44" fontId="2" fillId="3" borderId="0" xfId="0" applyNumberFormat="1" applyFont="1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12" xfId="0" applyBorder="1"/>
    <xf numFmtId="44" fontId="0" fillId="0" borderId="13" xfId="1" applyFont="1" applyBorder="1"/>
    <xf numFmtId="0" fontId="0" fillId="0" borderId="14" xfId="0" applyBorder="1"/>
    <xf numFmtId="0" fontId="0" fillId="0" borderId="15" xfId="0" applyBorder="1"/>
    <xf numFmtId="44" fontId="0" fillId="0" borderId="0" xfId="1" applyFont="1" applyBorder="1"/>
    <xf numFmtId="0" fontId="0" fillId="0" borderId="16" xfId="0" applyBorder="1"/>
    <xf numFmtId="0" fontId="0" fillId="0" borderId="17" xfId="0" applyBorder="1"/>
    <xf numFmtId="44" fontId="0" fillId="0" borderId="18" xfId="1" applyFont="1" applyBorder="1"/>
    <xf numFmtId="0" fontId="0" fillId="0" borderId="19" xfId="0" applyBorder="1"/>
    <xf numFmtId="44" fontId="2" fillId="2" borderId="0" xfId="0" applyNumberFormat="1" applyFont="1" applyFill="1"/>
    <xf numFmtId="14" fontId="0" fillId="0" borderId="0" xfId="0" applyNumberFormat="1"/>
    <xf numFmtId="0" fontId="0" fillId="0" borderId="0" xfId="0" applyAlignment="1">
      <alignment horizontal="right"/>
    </xf>
  </cellXfs>
  <cellStyles count="3">
    <cellStyle name="Moneda" xfId="1" builtinId="4"/>
    <cellStyle name="Normal" xfId="0" builtinId="0"/>
    <cellStyle name="Porcentual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5</xdr:col>
      <xdr:colOff>517576</xdr:colOff>
      <xdr:row>6</xdr:row>
      <xdr:rowOff>92927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494" t="25135" r="12052" b="35971"/>
        <a:stretch>
          <a:fillRect/>
        </a:stretch>
      </xdr:blipFill>
      <xdr:spPr bwMode="auto">
        <a:xfrm>
          <a:off x="114300" y="85725"/>
          <a:ext cx="3663282" cy="11502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714000</xdr:colOff>
      <xdr:row>9</xdr:row>
      <xdr:rowOff>85500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00000" cy="18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4330</xdr:colOff>
      <xdr:row>5</xdr:row>
      <xdr:rowOff>95250</xdr:rowOff>
    </xdr:from>
    <xdr:to>
      <xdr:col>2</xdr:col>
      <xdr:colOff>562841</xdr:colOff>
      <xdr:row>6</xdr:row>
      <xdr:rowOff>95250</xdr:rowOff>
    </xdr:to>
    <xdr:cxnSp macro="">
      <xdr:nvCxnSpPr>
        <xdr:cNvPr id="3" name="2 Conector recto de flecha"/>
        <xdr:cNvCxnSpPr/>
      </xdr:nvCxnSpPr>
      <xdr:spPr>
        <a:xfrm flipV="1">
          <a:off x="1528330" y="1047750"/>
          <a:ext cx="558511" cy="1905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744682</xdr:colOff>
      <xdr:row>5</xdr:row>
      <xdr:rowOff>129886</xdr:rowOff>
    </xdr:from>
    <xdr:to>
      <xdr:col>2</xdr:col>
      <xdr:colOff>493568</xdr:colOff>
      <xdr:row>6</xdr:row>
      <xdr:rowOff>125557</xdr:rowOff>
    </xdr:to>
    <xdr:cxnSp macro="">
      <xdr:nvCxnSpPr>
        <xdr:cNvPr id="4" name="3 Conector recto de flecha"/>
        <xdr:cNvCxnSpPr/>
      </xdr:nvCxnSpPr>
      <xdr:spPr>
        <a:xfrm>
          <a:off x="1506682" y="1082386"/>
          <a:ext cx="510886" cy="18617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1"/>
  <sheetViews>
    <sheetView zoomScale="250" zoomScaleNormal="250" workbookViewId="0">
      <selection activeCell="B11" sqref="B11"/>
    </sheetView>
  </sheetViews>
  <sheetFormatPr baseColWidth="10" defaultRowHeight="15"/>
  <cols>
    <col min="1" max="1" width="17.85546875" bestFit="1" customWidth="1"/>
  </cols>
  <sheetData>
    <row r="2" spans="1:3">
      <c r="A2" t="s">
        <v>4</v>
      </c>
      <c r="C2" s="1">
        <v>165.4</v>
      </c>
    </row>
    <row r="3" spans="1:3">
      <c r="A3" t="s">
        <v>0</v>
      </c>
      <c r="B3" s="2">
        <v>0.115</v>
      </c>
      <c r="C3" s="4">
        <f>C2*B3</f>
        <v>19.021000000000001</v>
      </c>
    </row>
    <row r="4" spans="1:3">
      <c r="A4" t="s">
        <v>5</v>
      </c>
      <c r="C4" s="4">
        <f>SUM(C2:C3)</f>
        <v>184.42099999999999</v>
      </c>
    </row>
    <row r="5" spans="1:3">
      <c r="A5" t="s">
        <v>3</v>
      </c>
      <c r="B5" s="2">
        <v>5.0000000000000001E-3</v>
      </c>
      <c r="C5" s="4">
        <f>C4*B5</f>
        <v>0.92210499999999995</v>
      </c>
    </row>
    <row r="6" spans="1:3">
      <c r="A6" t="s">
        <v>6</v>
      </c>
      <c r="C6" s="4">
        <f>SUM(C4:C5)</f>
        <v>185.34310499999998</v>
      </c>
    </row>
    <row r="7" spans="1:3">
      <c r="A7" t="s">
        <v>2</v>
      </c>
      <c r="B7" s="2">
        <v>9.5000000000000001E-2</v>
      </c>
      <c r="C7" s="4">
        <f>C6*B7</f>
        <v>17.607594974999998</v>
      </c>
    </row>
    <row r="8" spans="1:3">
      <c r="A8" t="s">
        <v>1</v>
      </c>
      <c r="B8" s="2"/>
      <c r="C8" s="4">
        <f>SUM(C6:C7)</f>
        <v>202.95069997499996</v>
      </c>
    </row>
    <row r="9" spans="1:3">
      <c r="C9" s="4"/>
    </row>
    <row r="10" spans="1:3">
      <c r="B10" s="3">
        <v>202.95</v>
      </c>
    </row>
    <row r="11" spans="1:3">
      <c r="A11" t="s">
        <v>7</v>
      </c>
      <c r="B11" s="5">
        <f>(C8-C2)/C2</f>
        <v>0.22702962499999974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6"/>
  <sheetViews>
    <sheetView topLeftCell="A3" zoomScale="190" zoomScaleNormal="190" workbookViewId="0">
      <selection activeCell="A14" sqref="A14"/>
    </sheetView>
  </sheetViews>
  <sheetFormatPr baseColWidth="10" defaultRowHeight="15"/>
  <cols>
    <col min="1" max="1" width="23.7109375" customWidth="1"/>
  </cols>
  <sheetData>
    <row r="3" spans="1:2">
      <c r="A3" t="s">
        <v>8</v>
      </c>
      <c r="B3" t="str">
        <f>CONCATENATE(A3," ",A4," ",A5," ",A6," ",A7)</f>
        <v>Trazo y Nivelación de terreno con equipo Topográfico. Incluye: Mano de obra, materiales, Herramienta y equipo.</v>
      </c>
    </row>
    <row r="4" spans="1:2">
      <c r="A4" t="s">
        <v>9</v>
      </c>
    </row>
    <row r="5" spans="1:2">
      <c r="A5" t="s">
        <v>10</v>
      </c>
    </row>
    <row r="6" spans="1:2">
      <c r="A6" t="s">
        <v>11</v>
      </c>
    </row>
    <row r="7" spans="1:2">
      <c r="A7" t="s">
        <v>12</v>
      </c>
    </row>
    <row r="11" spans="1:2">
      <c r="A11" t="s">
        <v>13</v>
      </c>
    </row>
    <row r="13" spans="1:2">
      <c r="A13" t="s">
        <v>14</v>
      </c>
      <c r="B13" t="str">
        <f>CONCATENATE(A13," ",A14," ",A15," ",A16," ",A17)</f>
        <v xml:space="preserve">hola como estas ? </v>
      </c>
    </row>
    <row r="14" spans="1:2">
      <c r="A14" t="s">
        <v>15</v>
      </c>
    </row>
    <row r="15" spans="1:2">
      <c r="A15" t="s">
        <v>16</v>
      </c>
      <c r="B15" t="s">
        <v>18</v>
      </c>
    </row>
    <row r="16" spans="1:2">
      <c r="A1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L18"/>
  <sheetViews>
    <sheetView topLeftCell="A10" zoomScale="175" zoomScaleNormal="175" workbookViewId="0">
      <selection activeCell="H15" sqref="H15"/>
    </sheetView>
  </sheetViews>
  <sheetFormatPr baseColWidth="10" defaultRowHeight="15"/>
  <cols>
    <col min="1" max="1" width="15.28515625" bestFit="1" customWidth="1"/>
    <col min="2" max="2" width="10.7109375" bestFit="1" customWidth="1"/>
    <col min="3" max="3" width="6.140625" bestFit="1" customWidth="1"/>
    <col min="4" max="4" width="7.140625" bestFit="1" customWidth="1"/>
    <col min="5" max="5" width="9.7109375" bestFit="1" customWidth="1"/>
    <col min="6" max="6" width="9.140625" bestFit="1" customWidth="1"/>
    <col min="7" max="7" width="7.85546875" bestFit="1" customWidth="1"/>
    <col min="8" max="8" width="7.42578125" bestFit="1" customWidth="1"/>
    <col min="9" max="9" width="8.85546875" bestFit="1" customWidth="1"/>
    <col min="10" max="10" width="5.5703125" bestFit="1" customWidth="1"/>
    <col min="11" max="11" width="3.7109375" bestFit="1" customWidth="1"/>
  </cols>
  <sheetData>
    <row r="2" spans="1:12">
      <c r="I2" t="s">
        <v>27</v>
      </c>
      <c r="J2">
        <v>8</v>
      </c>
      <c r="K2" t="s">
        <v>28</v>
      </c>
    </row>
    <row r="8" spans="1:12">
      <c r="A8" t="s">
        <v>19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</row>
    <row r="9" spans="1:12">
      <c r="A9" s="7" t="s">
        <v>26</v>
      </c>
      <c r="B9" s="7"/>
      <c r="C9" s="7">
        <v>8</v>
      </c>
      <c r="D9" s="7">
        <v>10</v>
      </c>
      <c r="E9" s="7">
        <v>9</v>
      </c>
      <c r="F9" s="7">
        <v>9</v>
      </c>
      <c r="G9" s="7">
        <v>12</v>
      </c>
      <c r="H9" s="7">
        <v>9</v>
      </c>
    </row>
    <row r="10" spans="1:12">
      <c r="A10" s="7" t="s">
        <v>29</v>
      </c>
      <c r="B10" s="7"/>
      <c r="C10" s="7">
        <f>C9-$J$2</f>
        <v>0</v>
      </c>
      <c r="D10" s="7">
        <f t="shared" ref="D10:H10" si="0">D9-$J$2</f>
        <v>2</v>
      </c>
      <c r="E10" s="7">
        <f t="shared" si="0"/>
        <v>1</v>
      </c>
      <c r="F10" s="7">
        <f t="shared" si="0"/>
        <v>1</v>
      </c>
      <c r="G10" s="7">
        <f t="shared" si="0"/>
        <v>4</v>
      </c>
      <c r="H10" s="7">
        <f t="shared" si="0"/>
        <v>1</v>
      </c>
    </row>
    <row r="11" spans="1:12">
      <c r="A11" s="8" t="s">
        <v>30</v>
      </c>
      <c r="B11" s="8"/>
      <c r="C11" s="7">
        <f>IF(C10&gt;0,1+B11,B11)</f>
        <v>0</v>
      </c>
      <c r="D11" s="7">
        <f t="shared" ref="D11:H11" si="1">IF(D10&gt;0,1+C11,C11)</f>
        <v>1</v>
      </c>
      <c r="E11" s="7">
        <f t="shared" si="1"/>
        <v>2</v>
      </c>
      <c r="F11" s="7">
        <f t="shared" si="1"/>
        <v>3</v>
      </c>
      <c r="G11" s="7">
        <f t="shared" si="1"/>
        <v>4</v>
      </c>
      <c r="H11" s="7">
        <f t="shared" si="1"/>
        <v>5</v>
      </c>
    </row>
    <row r="12" spans="1:12">
      <c r="A12" s="8" t="s">
        <v>31</v>
      </c>
      <c r="B12" s="7"/>
      <c r="C12" s="7">
        <f>IF(C11&lt;=3,IF(C10&lt;=3,C10,3),0)</f>
        <v>0</v>
      </c>
      <c r="D12" s="7">
        <f t="shared" ref="D12:H12" si="2">IF(D11&lt;=3,IF(D10&lt;=3,D10,3),0)</f>
        <v>2</v>
      </c>
      <c r="E12" s="7">
        <f t="shared" si="2"/>
        <v>1</v>
      </c>
      <c r="F12" s="7">
        <f t="shared" si="2"/>
        <v>1</v>
      </c>
      <c r="G12" s="7">
        <f t="shared" si="2"/>
        <v>0</v>
      </c>
      <c r="H12" s="7">
        <f t="shared" si="2"/>
        <v>0</v>
      </c>
      <c r="I12" s="9">
        <f>SUM(C12:H12)</f>
        <v>4</v>
      </c>
      <c r="J12" s="11">
        <v>2</v>
      </c>
      <c r="K12">
        <f>I12*J12</f>
        <v>8</v>
      </c>
      <c r="L12" t="s">
        <v>28</v>
      </c>
    </row>
    <row r="13" spans="1:12">
      <c r="A13" s="8" t="s">
        <v>32</v>
      </c>
      <c r="B13" s="7"/>
      <c r="C13" s="7">
        <f>IF(C11&gt;3,C10,IF(C10&gt;3,C10-3,0))</f>
        <v>0</v>
      </c>
      <c r="D13" s="7">
        <f t="shared" ref="D13:H13" si="3">IF(D11&gt;3,D10,IF(D10&gt;3,D10-3,0))</f>
        <v>0</v>
      </c>
      <c r="E13" s="7">
        <f t="shared" si="3"/>
        <v>0</v>
      </c>
      <c r="F13" s="7">
        <f t="shared" si="3"/>
        <v>0</v>
      </c>
      <c r="G13" s="7">
        <f t="shared" si="3"/>
        <v>4</v>
      </c>
      <c r="H13" s="7">
        <f t="shared" si="3"/>
        <v>1</v>
      </c>
      <c r="I13" s="10">
        <f>SUM(C13:H13)</f>
        <v>5</v>
      </c>
      <c r="J13" s="11">
        <v>3</v>
      </c>
      <c r="K13">
        <f>I13*J13</f>
        <v>15</v>
      </c>
      <c r="L13" t="s">
        <v>28</v>
      </c>
    </row>
    <row r="14" spans="1:12" ht="15.75" thickBot="1">
      <c r="K14" s="12">
        <f>SUM(K12:K13)</f>
        <v>23</v>
      </c>
      <c r="L14" s="12" t="s">
        <v>28</v>
      </c>
    </row>
    <row r="15" spans="1:12" ht="15.75" thickTop="1">
      <c r="A15" t="s">
        <v>33</v>
      </c>
      <c r="B15" s="1">
        <v>1000</v>
      </c>
      <c r="D15" s="13"/>
      <c r="E15" s="14"/>
      <c r="F15" s="14"/>
      <c r="G15" s="15"/>
    </row>
    <row r="16" spans="1:12">
      <c r="A16" t="s">
        <v>34</v>
      </c>
      <c r="B16" s="4">
        <f>B15/7</f>
        <v>142.85714285714286</v>
      </c>
      <c r="D16" s="16"/>
      <c r="E16" s="17" t="s">
        <v>36</v>
      </c>
      <c r="F16" s="18">
        <f>K14*B17</f>
        <v>410.71428571428572</v>
      </c>
      <c r="G16" s="19"/>
    </row>
    <row r="17" spans="1:7" ht="15.75" thickBot="1">
      <c r="A17" t="s">
        <v>35</v>
      </c>
      <c r="B17" s="4">
        <f>B16/J2</f>
        <v>17.857142857142858</v>
      </c>
      <c r="D17" s="20"/>
      <c r="E17" s="21"/>
      <c r="F17" s="21"/>
      <c r="G17" s="22"/>
    </row>
    <row r="18" spans="1:7" ht="15.75" thickTop="1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H24"/>
  <sheetViews>
    <sheetView topLeftCell="A10" zoomScale="130" zoomScaleNormal="130" workbookViewId="0">
      <selection activeCell="C23" sqref="C23"/>
    </sheetView>
  </sheetViews>
  <sheetFormatPr baseColWidth="10" defaultRowHeight="15"/>
  <sheetData>
    <row r="2" spans="1:8">
      <c r="E2" t="s">
        <v>37</v>
      </c>
      <c r="F2">
        <v>1900</v>
      </c>
    </row>
    <row r="3" spans="1:8">
      <c r="E3" t="s">
        <v>38</v>
      </c>
      <c r="F3">
        <f>F2/7</f>
        <v>271.42857142857144</v>
      </c>
    </row>
    <row r="4" spans="1:8">
      <c r="E4" t="s">
        <v>40</v>
      </c>
      <c r="F4" s="11">
        <v>2</v>
      </c>
      <c r="G4">
        <f>F3*F4</f>
        <v>542.85714285714289</v>
      </c>
    </row>
    <row r="5" spans="1:8">
      <c r="E5" s="23" t="s">
        <v>20</v>
      </c>
      <c r="F5" s="24">
        <f>$F$3</f>
        <v>271.42857142857144</v>
      </c>
      <c r="G5" s="25">
        <f>$G$4</f>
        <v>542.85714285714289</v>
      </c>
    </row>
    <row r="6" spans="1:8">
      <c r="E6" s="26" t="s">
        <v>21</v>
      </c>
      <c r="F6" s="27">
        <f t="shared" ref="F6:F11" si="0">$F$3</f>
        <v>271.42857142857144</v>
      </c>
      <c r="G6" s="28"/>
    </row>
    <row r="7" spans="1:8">
      <c r="E7" s="26" t="s">
        <v>22</v>
      </c>
      <c r="F7" s="27">
        <f t="shared" si="0"/>
        <v>271.42857142857144</v>
      </c>
      <c r="G7" s="28"/>
    </row>
    <row r="8" spans="1:8">
      <c r="E8" s="26" t="s">
        <v>23</v>
      </c>
      <c r="F8" s="27">
        <f t="shared" si="0"/>
        <v>271.42857142857144</v>
      </c>
      <c r="G8" s="28"/>
    </row>
    <row r="9" spans="1:8">
      <c r="E9" s="26" t="s">
        <v>24</v>
      </c>
      <c r="F9" s="27">
        <f t="shared" si="0"/>
        <v>271.42857142857144</v>
      </c>
      <c r="G9" s="28"/>
    </row>
    <row r="10" spans="1:8">
      <c r="E10" s="26" t="s">
        <v>25</v>
      </c>
      <c r="F10" s="27">
        <f t="shared" si="0"/>
        <v>271.42857142857144</v>
      </c>
      <c r="G10" s="28"/>
    </row>
    <row r="11" spans="1:8">
      <c r="E11" s="29" t="s">
        <v>39</v>
      </c>
      <c r="F11" s="30">
        <f t="shared" si="0"/>
        <v>271.42857142857144</v>
      </c>
      <c r="G11" s="31"/>
    </row>
    <row r="12" spans="1:8">
      <c r="F12" s="4">
        <f>SUM(F5:F11)</f>
        <v>1900.0000000000005</v>
      </c>
      <c r="G12" s="4">
        <f>SUM(G5:G11)</f>
        <v>542.85714285714289</v>
      </c>
      <c r="H12" s="32">
        <f>SUM(F12:G12)</f>
        <v>2442.8571428571431</v>
      </c>
    </row>
    <row r="14" spans="1:8">
      <c r="A14" t="s">
        <v>37</v>
      </c>
      <c r="B14">
        <v>1450</v>
      </c>
    </row>
    <row r="15" spans="1:8">
      <c r="A15" t="s">
        <v>38</v>
      </c>
      <c r="B15">
        <f>B14/7</f>
        <v>207.14285714285714</v>
      </c>
    </row>
    <row r="16" spans="1:8">
      <c r="A16" t="s">
        <v>40</v>
      </c>
      <c r="B16" s="11">
        <v>0.25</v>
      </c>
      <c r="C16">
        <f>B15*B16</f>
        <v>51.785714285714285</v>
      </c>
    </row>
    <row r="17" spans="1:4">
      <c r="A17" s="23" t="s">
        <v>20</v>
      </c>
      <c r="B17" s="24">
        <f>$B$15</f>
        <v>207.14285714285714</v>
      </c>
      <c r="C17" s="25"/>
    </row>
    <row r="18" spans="1:4">
      <c r="A18" s="26" t="s">
        <v>21</v>
      </c>
      <c r="B18" s="27">
        <f t="shared" ref="B18:B23" si="1">$B$15</f>
        <v>207.14285714285714</v>
      </c>
      <c r="C18" s="28"/>
    </row>
    <row r="19" spans="1:4">
      <c r="A19" s="26" t="s">
        <v>22</v>
      </c>
      <c r="B19" s="27">
        <f t="shared" si="1"/>
        <v>207.14285714285714</v>
      </c>
      <c r="C19" s="28"/>
    </row>
    <row r="20" spans="1:4">
      <c r="A20" s="26" t="s">
        <v>23</v>
      </c>
      <c r="B20" s="27">
        <f t="shared" si="1"/>
        <v>207.14285714285714</v>
      </c>
      <c r="C20" s="28"/>
    </row>
    <row r="21" spans="1:4">
      <c r="A21" s="26" t="s">
        <v>24</v>
      </c>
      <c r="B21" s="27">
        <f t="shared" si="1"/>
        <v>207.14285714285714</v>
      </c>
      <c r="C21" s="28"/>
    </row>
    <row r="22" spans="1:4">
      <c r="A22" s="26" t="s">
        <v>25</v>
      </c>
      <c r="B22" s="27">
        <f t="shared" si="1"/>
        <v>207.14285714285714</v>
      </c>
      <c r="C22" s="28"/>
    </row>
    <row r="23" spans="1:4">
      <c r="A23" s="29" t="s">
        <v>39</v>
      </c>
      <c r="B23" s="30">
        <f t="shared" si="1"/>
        <v>207.14285714285714</v>
      </c>
      <c r="C23" s="31">
        <f>C16</f>
        <v>51.785714285714285</v>
      </c>
    </row>
    <row r="24" spans="1:4">
      <c r="B24" s="4">
        <f>SUM(B17:B23)</f>
        <v>1450</v>
      </c>
      <c r="C24" s="4">
        <f>SUM(C17:C23)</f>
        <v>51.785714285714285</v>
      </c>
      <c r="D24" s="32">
        <f>SUM(B24:C24)</f>
        <v>1501.7857142857142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tabSelected="1" zoomScale="220" zoomScaleNormal="220" workbookViewId="0">
      <selection activeCell="B8" sqref="B8"/>
    </sheetView>
  </sheetViews>
  <sheetFormatPr baseColWidth="10" defaultRowHeight="15"/>
  <sheetData>
    <row r="1" spans="1:4">
      <c r="A1" t="s">
        <v>41</v>
      </c>
      <c r="B1" s="33">
        <v>41754</v>
      </c>
    </row>
    <row r="2" spans="1:4">
      <c r="A2" t="s">
        <v>42</v>
      </c>
      <c r="B2">
        <v>1550</v>
      </c>
    </row>
    <row r="3" spans="1:4">
      <c r="A3" t="s">
        <v>38</v>
      </c>
      <c r="B3" s="1">
        <f>B2/7</f>
        <v>221.42857142857142</v>
      </c>
    </row>
    <row r="4" spans="1:4">
      <c r="A4" t="s">
        <v>43</v>
      </c>
      <c r="B4" s="33">
        <v>42004</v>
      </c>
    </row>
    <row r="6" spans="1:4">
      <c r="A6" t="s">
        <v>44</v>
      </c>
      <c r="B6">
        <f>B4-B1+1</f>
        <v>251</v>
      </c>
      <c r="C6" s="34" t="s">
        <v>45</v>
      </c>
    </row>
    <row r="7" spans="1:4">
      <c r="B7">
        <v>365</v>
      </c>
      <c r="C7">
        <v>15</v>
      </c>
    </row>
    <row r="9" spans="1:4">
      <c r="B9" t="s">
        <v>46</v>
      </c>
      <c r="C9">
        <f>B6*C7/B7</f>
        <v>10.315068493150685</v>
      </c>
      <c r="D9" t="s">
        <v>47</v>
      </c>
    </row>
    <row r="10" spans="1:4">
      <c r="B10" t="s">
        <v>48</v>
      </c>
      <c r="C10" s="1">
        <f>C9*B3</f>
        <v>2284.0508806262228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RodrigoSB</dc:creator>
  <cp:lastModifiedBy>RodrigoSB</cp:lastModifiedBy>
  <dcterms:created xsi:type="dcterms:W3CDTF">2014-05-17T15:17:16Z</dcterms:created>
  <dcterms:modified xsi:type="dcterms:W3CDTF">2014-05-20T00:40:25Z</dcterms:modified>
</cp:coreProperties>
</file>